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sm\Downloads\"/>
    </mc:Choice>
  </mc:AlternateContent>
  <xr:revisionPtr revIDLastSave="0" documentId="13_ncr:1_{9095B2FD-0F59-4B0A-8CB2-07CCCA056F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 de Progreso" sheetId="1" r:id="rId1"/>
    <sheet name="Datos de Jira" sheetId="2" r:id="rId2"/>
  </sheets>
  <definedNames>
    <definedName name="_xlnm._FilterDatabase" localSheetId="1" hidden="1">'Datos de Jira'!$A$1:$I$64</definedName>
  </definedNames>
  <calcPr calcId="191029"/>
</workbook>
</file>

<file path=xl/calcChain.xml><?xml version="1.0" encoding="utf-8"?>
<calcChain xmlns="http://schemas.openxmlformats.org/spreadsheetml/2006/main">
  <c r="D24" i="1" l="1"/>
  <c r="C24" i="1"/>
  <c r="D23" i="1"/>
  <c r="C23" i="1"/>
  <c r="D22" i="1"/>
  <c r="C22" i="1"/>
  <c r="D21" i="1"/>
  <c r="C21" i="1"/>
  <c r="D20" i="1"/>
  <c r="D25" i="1" s="1"/>
  <c r="C20" i="1"/>
  <c r="C25" i="1" s="1"/>
  <c r="D14" i="1"/>
  <c r="C14" i="1"/>
  <c r="D13" i="1"/>
  <c r="C13" i="1"/>
  <c r="D12" i="1"/>
  <c r="C12" i="1"/>
  <c r="D11" i="1"/>
  <c r="D15" i="1" s="1"/>
  <c r="C11" i="1"/>
  <c r="C15" i="1" s="1"/>
  <c r="K6" i="1"/>
  <c r="H6" i="1"/>
  <c r="E6" i="1"/>
  <c r="B6" i="1"/>
  <c r="N6" i="1" s="1"/>
</calcChain>
</file>

<file path=xl/sharedStrings.xml><?xml version="1.0" encoding="utf-8"?>
<sst xmlns="http://schemas.openxmlformats.org/spreadsheetml/2006/main" count="522" uniqueCount="199">
  <si>
    <t>DASHBOARD DE PROGRESO DE JIRA</t>
  </si>
  <si>
    <t>Resumen automatizado extraído de tus datos</t>
  </si>
  <si>
    <t>TOTAL INCIDENCIAS</t>
  </si>
  <si>
    <t>COMPLETADAS</t>
  </si>
  <si>
    <t>EN PROGRESO</t>
  </si>
  <si>
    <t>PENDIENTES</t>
  </si>
  <si>
    <t>% AVANCE</t>
  </si>
  <si>
    <t>Métricas por Estado</t>
  </si>
  <si>
    <t>Estado</t>
  </si>
  <si>
    <t>Cantidad</t>
  </si>
  <si>
    <t>Story Points</t>
  </si>
  <si>
    <t>Finalizada</t>
  </si>
  <si>
    <t>En curso</t>
  </si>
  <si>
    <t>Tareas por hacer</t>
  </si>
  <si>
    <t>Idea</t>
  </si>
  <si>
    <t>Total</t>
  </si>
  <si>
    <t>Métricas por Prioridad</t>
  </si>
  <si>
    <t>Prioridad</t>
  </si>
  <si>
    <t>High</t>
  </si>
  <si>
    <t>Highest</t>
  </si>
  <si>
    <t>Medium</t>
  </si>
  <si>
    <t>Lowest</t>
  </si>
  <si>
    <t>Low</t>
  </si>
  <si>
    <t>Clave</t>
  </si>
  <si>
    <t>Resumen</t>
  </si>
  <si>
    <t>Tipo de Incidencia</t>
  </si>
  <si>
    <t>Responsable</t>
  </si>
  <si>
    <t>Fecha de Creación</t>
  </si>
  <si>
    <t>Fecha de Resolución</t>
  </si>
  <si>
    <t>SCRUM-69</t>
  </si>
  <si>
    <t>Infraestructura del Microservicio Vambot</t>
  </si>
  <si>
    <t>Feature</t>
  </si>
  <si>
    <t>Pablo Mery</t>
  </si>
  <si>
    <t>25/may/26 3:16 AM</t>
  </si>
  <si>
    <t>25/may/26 12:49 PM</t>
  </si>
  <si>
    <t>SCRUM-68</t>
  </si>
  <si>
    <t>Pipeline de Extracción y Carga de Eventos</t>
  </si>
  <si>
    <t>Freddy Gabriel Galarza Rios</t>
  </si>
  <si>
    <t>SCRUM-67</t>
  </si>
  <si>
    <t>Deploy e Infraestructura Cloud (AWS EC2)</t>
  </si>
  <si>
    <t>SCRUM-66</t>
  </si>
  <si>
    <t>API REST de Listas Personales de Eventos</t>
  </si>
  <si>
    <t>SCRUM-65</t>
  </si>
  <si>
    <t>API REST de Grupos Logísticos</t>
  </si>
  <si>
    <t>SCRUM-64</t>
  </si>
  <si>
    <t>API REST de Eventos</t>
  </si>
  <si>
    <t>SCRUM-63</t>
  </si>
  <si>
    <t>Autenticación y Sesiones (OAuth2 + JWT)</t>
  </si>
  <si>
    <t>SCRUM-62</t>
  </si>
  <si>
    <t>Infraestructura Django y Docker</t>
  </si>
  <si>
    <t>25/may/26 3:15 AM</t>
  </si>
  <si>
    <t>25/may/26 12:47 PM</t>
  </si>
  <si>
    <t>SCRUM-61</t>
  </si>
  <si>
    <t>Búsqueda semántica y respuesta LLM en endpoint /ask</t>
  </si>
  <si>
    <t>Historia</t>
  </si>
  <si>
    <t>25/may/26 3:12 AM</t>
  </si>
  <si>
    <t>25/may/26 3:28 AM</t>
  </si>
  <si>
    <t>SCRUM-60</t>
  </si>
  <si>
    <t>Generar y almacenar embeddings de eventos con Gemini y pgvector</t>
  </si>
  <si>
    <t>Tarea</t>
  </si>
  <si>
    <t>SCRUM-59</t>
  </si>
  <si>
    <t>Crear microservicio Vambot en FastAPI (puerto 8001)</t>
  </si>
  <si>
    <t>SCRUM-58</t>
  </si>
  <si>
    <t>DataSeeder - inyectar eventos JSON en PostgreSQL</t>
  </si>
  <si>
    <t>SCRUM-57</t>
  </si>
  <si>
    <t>Script scraper para Municipalidad de Providencia</t>
  </si>
  <si>
    <t>25/may/26 3:11 AM</t>
  </si>
  <si>
    <t>SCRUM-56</t>
  </si>
  <si>
    <t>Deploy del backend en AWS EC2 con Docker</t>
  </si>
  <si>
    <t>25/may/26 3:49 AM</t>
  </si>
  <si>
    <t>SCRUM-55</t>
  </si>
  <si>
    <t>Implementar DELETE para quitar eventos de listas personales</t>
  </si>
  <si>
    <t>SCRUM-54</t>
  </si>
  <si>
    <t>Implementar endpoints de eventos guardados/confirmados</t>
  </si>
  <si>
    <t>25/may/26 3:27 AM</t>
  </si>
  <si>
    <t>SCRUM-53</t>
  </si>
  <si>
    <t>Implementar endpoints de grupos logísticos en Django</t>
  </si>
  <si>
    <t>SCRUM-52</t>
  </si>
  <si>
    <t>Crear app eventos/ y endpoints REST de eventos</t>
  </si>
  <si>
    <t>Sin asignar</t>
  </si>
  <si>
    <t>SCRUM-51</t>
  </si>
  <si>
    <t>Implementar autenticación Google OAuth2 y JWT en Django</t>
  </si>
  <si>
    <t>25/may/26 3:10 AM</t>
  </si>
  <si>
    <t>SCRUM-50</t>
  </si>
  <si>
    <t>Crear modelos de usuario y configurar app usuarios/</t>
  </si>
  <si>
    <t>SCRUM-49</t>
  </si>
  <si>
    <t>Configurar proyecto Django con Docker y PostgreSQL</t>
  </si>
  <si>
    <t>25/may/26 3:48 AM</t>
  </si>
  <si>
    <t>SCRUM-48</t>
  </si>
  <si>
    <t>Falta endpoint DELETE para quitar eventos de listas</t>
  </si>
  <si>
    <t>Error</t>
  </si>
  <si>
    <t>25/may/26 2:03 AM</t>
  </si>
  <si>
    <t>SCRUM-47</t>
  </si>
  <si>
    <t>Markers superpuestos causan parpadeo en el mapa</t>
  </si>
  <si>
    <t>LUIS MANUEL NUNEZ TAPIA</t>
  </si>
  <si>
    <t>SCRUM-46</t>
  </si>
  <si>
    <t>Configurar EAS Build y generar APK</t>
  </si>
  <si>
    <t>SCRUM-45</t>
  </si>
  <si>
    <t>BottomSheet - componente base reutilizable</t>
  </si>
  <si>
    <t>SCRUM-44</t>
  </si>
  <si>
    <t>Sistema de temas (useTheme) con dark mode automático</t>
  </si>
  <si>
    <t>SCRUM-43</t>
  </si>
  <si>
    <t>AIChatModal - interfaz de chat con Vambot</t>
  </si>
  <si>
    <t>25/may/26 2:02 AM</t>
  </si>
  <si>
    <t>SCRUM-42</t>
  </si>
  <si>
    <t>SavedEventsContext sincronizado con backend</t>
  </si>
  <si>
    <t>SCRUM-41</t>
  </si>
  <si>
    <t>Pantalla de guardados con tarjetas diferenciadas</t>
  </si>
  <si>
    <t>SCRUM-40</t>
  </si>
  <si>
    <t>RoutePanel con distancia, tiempo y modos de transporte</t>
  </si>
  <si>
    <t>25/may/26 2:01 AM</t>
  </si>
  <si>
    <t>SCRUM-39</t>
  </si>
  <si>
    <t>JoinGroupModal - unirse a grupo con código manual</t>
  </si>
  <si>
    <t>SCRUM-38</t>
  </si>
  <si>
    <t>EstadoModal para cambio de estado de miembro</t>
  </si>
  <si>
    <t>SCRUM-37</t>
  </si>
  <si>
    <t>Pantalla de grupo con lista de miembros y estados</t>
  </si>
  <si>
    <t>25/may/26 2:00 AM</t>
  </si>
  <si>
    <t>SCRUM-36</t>
  </si>
  <si>
    <t>Conectar eventos al backend real (USE_MOCK=false)</t>
  </si>
  <si>
    <t>SCRUM-35</t>
  </si>
  <si>
    <t>EventDetailSheet - detalle de evento en bottom sheet</t>
  </si>
  <si>
    <t>SCRUM-34</t>
  </si>
  <si>
    <t>Marcadores de eventos con estados visuales</t>
  </si>
  <si>
    <t>SCRUM-33</t>
  </si>
  <si>
    <t>Registro de fecha de nacimiento post-login</t>
  </si>
  <si>
    <t>25/may/26 1:59 AM</t>
  </si>
  <si>
    <t>SCRUM-32</t>
  </si>
  <si>
    <t>Crear AuthContext con manejo de sesión JWT</t>
  </si>
  <si>
    <t>SCRUM-31</t>
  </si>
  <si>
    <t>Pantalla de Login con Google Sign-In</t>
  </si>
  <si>
    <t>SCRUM-30</t>
  </si>
  <si>
    <t>Eventos Guardados y Confirmados</t>
  </si>
  <si>
    <t>Epic</t>
  </si>
  <si>
    <t>SCRUM-29</t>
  </si>
  <si>
    <t>Navegación y Ruteo (RF-06)</t>
  </si>
  <si>
    <t>25/may/26 1:58 AM</t>
  </si>
  <si>
    <t>SCRUM-28</t>
  </si>
  <si>
    <t>Definir atributos</t>
  </si>
  <si>
    <t>25/mar/26 10:27 PM</t>
  </si>
  <si>
    <t>25/may/26 3:20 AM</t>
  </si>
  <si>
    <t>SCRUM-27</t>
  </si>
  <si>
    <t>Normalizar la base de datos</t>
  </si>
  <si>
    <t>25/mar/26 10:26 PM</t>
  </si>
  <si>
    <t>SCRUM-26</t>
  </si>
  <si>
    <t>Definir entidades</t>
  </si>
  <si>
    <t>SCRUM-25</t>
  </si>
  <si>
    <t>Diseñar el Json del scraper</t>
  </si>
  <si>
    <t>25/mar/26 10:25 PM</t>
  </si>
  <si>
    <t>25/may/26 12:46 PM</t>
  </si>
  <si>
    <t>SCRUM-24</t>
  </si>
  <si>
    <t>Crear el script del scraper</t>
  </si>
  <si>
    <t>SCRUM-23</t>
  </si>
  <si>
    <t>Diseñar la UI de la app</t>
  </si>
  <si>
    <t>SCRUM-22</t>
  </si>
  <si>
    <t>Diseñar el tutorial de la app</t>
  </si>
  <si>
    <t>25/mar/26 10:24 PM</t>
  </si>
  <si>
    <t>SCRUM-21</t>
  </si>
  <si>
    <t>Hacer diagrama de la base de datos</t>
  </si>
  <si>
    <t>SCRUM-20</t>
  </si>
  <si>
    <t>Subir el código de la api</t>
  </si>
  <si>
    <t>25/mar/26 10:11 PM</t>
  </si>
  <si>
    <t>25/may/26 3:21 AM</t>
  </si>
  <si>
    <t>SCRUM-19</t>
  </si>
  <si>
    <t>Subir el código de la app</t>
  </si>
  <si>
    <t>SCRUM-18</t>
  </si>
  <si>
    <t>Añadir a los integrantes al proyecto</t>
  </si>
  <si>
    <t>25/mar/26 10:10 PM</t>
  </si>
  <si>
    <t>SCRUM-17</t>
  </si>
  <si>
    <t>Crear el repositorio del proyecto en GitHub</t>
  </si>
  <si>
    <t>25/mar/26 10:07 PM</t>
  </si>
  <si>
    <t>SCRUM-16</t>
  </si>
  <si>
    <t>Mantener el código proyecto</t>
  </si>
  <si>
    <t>25/mar/26 9:58 PM</t>
  </si>
  <si>
    <t>SCRUM-15</t>
  </si>
  <si>
    <t>Crear el proyecto de la app react-native</t>
  </si>
  <si>
    <t>SCRUM-14</t>
  </si>
  <si>
    <t>Arquitectura Base de la App y DevOps</t>
  </si>
  <si>
    <t>25/mar/26 9:52 PM</t>
  </si>
  <si>
    <t>SCRUM-13</t>
  </si>
  <si>
    <t>Implementar Tutorial en la App</t>
  </si>
  <si>
    <t>25/mar/26 9:38 PM</t>
  </si>
  <si>
    <t>SCRUM-12</t>
  </si>
  <si>
    <t>Grupos Logísticos y Tracking de Estado (RF-04/RF-05)</t>
  </si>
  <si>
    <t>25/mar/26 9:37 PM</t>
  </si>
  <si>
    <t>SCRUM-11</t>
  </si>
  <si>
    <t>Autenticación y Usuarios (RF-01)</t>
  </si>
  <si>
    <t>25/mar/26 9:36 PM</t>
  </si>
  <si>
    <t>SCRUM-10</t>
  </si>
  <si>
    <t>Base de Datos y API REST (Backend Django)</t>
  </si>
  <si>
    <t>25/mar/26 9:35 PM</t>
  </si>
  <si>
    <t>SCRUM-9</t>
  </si>
  <si>
    <t>Web Scraping y Poblado de Datos</t>
  </si>
  <si>
    <t>25/mar/26 9:16 PM</t>
  </si>
  <si>
    <t>SCRUM-8</t>
  </si>
  <si>
    <t>Mapa Interactivo y Exploración de Eventos (RF-02)</t>
  </si>
  <si>
    <t>SCRUM-7</t>
  </si>
  <si>
    <t>Asistencia Inteligente Vambot (RF-03)</t>
  </si>
  <si>
    <t>24/mar/26 10:10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</si>
</sst>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rgb="FF333333"/>
      <name val="Segoe UI"/>
    </font>
    <font>
      <b/>
      <sz val="18"/>
      <color rgb="FF172B4D"/>
      <name val="Segoe UI"/>
    </font>
    <font>
      <i/>
      <sz val="11"/>
      <color rgb="FF5E6C84"/>
      <name val="Segoe UI"/>
    </font>
    <font>
      <b/>
      <sz val="9"/>
      <color rgb="FF5E6C84"/>
      <name val="Segoe UI"/>
    </font>
    <font>
      <b/>
      <sz val="20"/>
      <color rgb="FF172B4D"/>
      <name val="Segoe UI"/>
    </font>
    <font>
      <b/>
      <sz val="11"/>
      <color rgb="FF172B4D"/>
      <name val="Segoe UI"/>
    </font>
    <font>
      <b/>
      <sz val="11"/>
      <color rgb="FF333333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72B4D"/>
        <bgColor rgb="FF172B4D"/>
      </patternFill>
    </fill>
    <fill>
      <patternFill patternType="solid">
        <fgColor rgb="FFFAFBFC"/>
        <bgColor rgb="FFFAFBFC"/>
      </patternFill>
    </fill>
    <fill>
      <patternFill patternType="solid">
        <fgColor rgb="FFF4F5F7"/>
        <bgColor rgb="FFF4F5F7"/>
      </patternFill>
    </fill>
    <fill>
      <patternFill patternType="solid">
        <fgColor rgb="FFEBECF0"/>
        <bgColor rgb="FFEBECF0"/>
      </patternFill>
    </fill>
  </fills>
  <borders count="4">
    <border>
      <left/>
      <right/>
      <top/>
      <bottom/>
      <diagonal/>
    </border>
    <border>
      <left style="thin">
        <color rgb="FFDFE1E6"/>
      </left>
      <right style="thin">
        <color rgb="FFDFE1E6"/>
      </right>
      <top style="thin">
        <color rgb="FFDFE1E6"/>
      </top>
      <bottom style="thin">
        <color rgb="FFDFE1E6"/>
      </bottom>
      <diagonal/>
    </border>
    <border>
      <left/>
      <right/>
      <top style="thin">
        <color rgb="FFDFE1E6"/>
      </top>
      <bottom style="medium">
        <color rgb="FF172B4D"/>
      </bottom>
      <diagonal/>
    </border>
    <border>
      <left/>
      <right/>
      <top style="thin">
        <color rgb="FF172B4D"/>
      </top>
      <bottom style="double">
        <color rgb="FF172B4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2" xfId="0" applyFont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0" fontId="8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7" fillId="5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Story Points por Estado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de Progreso'!$D$10</c:f>
              <c:strCache>
                <c:ptCount val="1"/>
                <c:pt idx="0">
                  <c:v>Story Points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de Progreso'!$B$11:$B$14</c:f>
              <c:strCache>
                <c:ptCount val="4"/>
                <c:pt idx="0">
                  <c:v>Finalizada</c:v>
                </c:pt>
                <c:pt idx="1">
                  <c:v>En curso</c:v>
                </c:pt>
                <c:pt idx="2">
                  <c:v>Tareas por hacer</c:v>
                </c:pt>
                <c:pt idx="3">
                  <c:v>Idea</c:v>
                </c:pt>
              </c:strCache>
            </c:strRef>
          </c:cat>
          <c:val>
            <c:numRef>
              <c:f>'Dashboard de Progreso'!$D$11:$D$14</c:f>
              <c:numCache>
                <c:formatCode>#,##0.0</c:formatCode>
                <c:ptCount val="4"/>
                <c:pt idx="0">
                  <c:v>163</c:v>
                </c:pt>
                <c:pt idx="1">
                  <c:v>9</c:v>
                </c:pt>
                <c:pt idx="2">
                  <c:v>14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1-4E10-B3C2-2D5889696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L"/>
              <a:t>Incidencias por Prioridad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'Dashboard de Progreso'!$C$19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'Dashboard de Progreso'!$B$20:$B$24</c:f>
              <c:strCache>
                <c:ptCount val="5"/>
                <c:pt idx="0">
                  <c:v>High</c:v>
                </c:pt>
                <c:pt idx="1">
                  <c:v>Highest</c:v>
                </c:pt>
                <c:pt idx="2">
                  <c:v>Medium</c:v>
                </c:pt>
                <c:pt idx="3">
                  <c:v>Lowest</c:v>
                </c:pt>
                <c:pt idx="4">
                  <c:v>Low</c:v>
                </c:pt>
              </c:strCache>
            </c:strRef>
          </c:cat>
          <c:val>
            <c:numRef>
              <c:f>'Dashboard de Progreso'!$C$20:$C$24</c:f>
              <c:numCache>
                <c:formatCode>#,##0</c:formatCode>
                <c:ptCount val="5"/>
                <c:pt idx="0">
                  <c:v>19</c:v>
                </c:pt>
                <c:pt idx="1">
                  <c:v>23</c:v>
                </c:pt>
                <c:pt idx="2">
                  <c:v>19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E-45F7-8C84-1BD044634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8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457200</xdr:colOff>
      <xdr:row>20</xdr:row>
      <xdr:rowOff>190500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5"/>
  <sheetViews>
    <sheetView showGridLines="0" tabSelected="1" topLeftCell="A16" workbookViewId="0"/>
  </sheetViews>
  <sheetFormatPr baseColWidth="10" defaultColWidth="9.140625" defaultRowHeight="15" x14ac:dyDescent="0.25"/>
  <cols>
    <col min="1" max="1" width="3" customWidth="1"/>
    <col min="2" max="2" width="20" customWidth="1"/>
    <col min="3" max="3" width="12" customWidth="1"/>
    <col min="4" max="4" width="15" customWidth="1"/>
    <col min="5" max="15" width="7" customWidth="1"/>
  </cols>
  <sheetData>
    <row r="2" spans="2:15" ht="30" customHeight="1" x14ac:dyDescent="0.45">
      <c r="B2" s="1" t="s">
        <v>0</v>
      </c>
    </row>
    <row r="3" spans="2:15" ht="16.5" x14ac:dyDescent="0.3">
      <c r="B3" s="2" t="s">
        <v>1</v>
      </c>
    </row>
    <row r="5" spans="2:15" ht="15.95" customHeight="1" x14ac:dyDescent="0.25">
      <c r="B5" s="16" t="s">
        <v>2</v>
      </c>
      <c r="C5" s="15"/>
      <c r="E5" s="16" t="s">
        <v>3</v>
      </c>
      <c r="F5" s="15"/>
      <c r="H5" s="16" t="s">
        <v>4</v>
      </c>
      <c r="I5" s="15"/>
      <c r="K5" s="16" t="s">
        <v>5</v>
      </c>
      <c r="L5" s="15"/>
      <c r="N5" s="16" t="s">
        <v>6</v>
      </c>
      <c r="O5" s="15"/>
    </row>
    <row r="6" spans="2:15" ht="32.1" customHeight="1" x14ac:dyDescent="0.25">
      <c r="B6" s="14">
        <f>COUNTA('Datos de Jira'!A2:A1000)</f>
        <v>63</v>
      </c>
      <c r="C6" s="15"/>
      <c r="E6" s="14">
        <f>COUNTIF('Datos de Jira'!D2:D1000, "Finalizada") + COUNTIF('Datos de Jira'!D2:D1000, "Done") + COUNTIF('Datos de Jira'!D2:D1000, "Completado") + COUNTIF('Datos de Jira'!D2:D1000, "Resuelta") + COUNTIF('Datos de Jira'!D2:D1000, "Cerrada")</f>
        <v>46</v>
      </c>
      <c r="F6" s="15"/>
      <c r="H6" s="14">
        <f>COUNTIF('Datos de Jira'!D2:D1000, "En curso") + COUNTIF('Datos de Jira'!D2:D1000, "In Progress") + COUNTIF('Datos de Jira'!D2:D1000, "En Progreso")</f>
        <v>2</v>
      </c>
      <c r="I6" s="15"/>
      <c r="K6" s="14">
        <f>COUNTIF('Datos de Jira'!D2:D1000, "Tareas por hacer") + COUNTIF('Datos de Jira'!D2:D1000, "To Do") + COUNTIF('Datos de Jira'!D2:D1000, "Abierta") + COUNTIF('Datos de Jira'!D2:D1000, "Idea")</f>
        <v>15</v>
      </c>
      <c r="L6" s="15"/>
      <c r="N6" s="17">
        <f>IF(B6&gt;0, E6/B6, 0)</f>
        <v>0.73015873015873012</v>
      </c>
      <c r="O6" s="15"/>
    </row>
    <row r="9" spans="2:15" ht="16.5" x14ac:dyDescent="0.3">
      <c r="B9" s="18" t="s">
        <v>7</v>
      </c>
      <c r="C9" s="19"/>
      <c r="D9" s="19"/>
    </row>
    <row r="10" spans="2:15" ht="16.5" x14ac:dyDescent="0.25">
      <c r="B10" s="3" t="s">
        <v>8</v>
      </c>
      <c r="C10" s="3" t="s">
        <v>9</v>
      </c>
      <c r="D10" s="3" t="s">
        <v>10</v>
      </c>
    </row>
    <row r="11" spans="2:15" ht="16.5" x14ac:dyDescent="0.3">
      <c r="B11" s="4" t="s">
        <v>11</v>
      </c>
      <c r="C11" s="5">
        <f>COUNTIF('Datos de Jira'!D$2:D$1000, B11)</f>
        <v>46</v>
      </c>
      <c r="D11" s="6">
        <f>SUMIF('Datos de Jira'!D$2:D$1000, B11, 'Datos de Jira'!G$2:G$1000)</f>
        <v>163</v>
      </c>
    </row>
    <row r="12" spans="2:15" ht="16.5" x14ac:dyDescent="0.3">
      <c r="B12" s="4" t="s">
        <v>12</v>
      </c>
      <c r="C12" s="5">
        <f>COUNTIF('Datos de Jira'!D$2:D$1000, B12)</f>
        <v>2</v>
      </c>
      <c r="D12" s="6">
        <f>SUMIF('Datos de Jira'!D$2:D$1000, B12, 'Datos de Jira'!G$2:G$1000)</f>
        <v>9</v>
      </c>
    </row>
    <row r="13" spans="2:15" ht="16.5" x14ac:dyDescent="0.3">
      <c r="B13" s="4" t="s">
        <v>13</v>
      </c>
      <c r="C13" s="5">
        <f>COUNTIF('Datos de Jira'!D$2:D$1000, B13)</f>
        <v>13</v>
      </c>
      <c r="D13" s="6">
        <f>SUMIF('Datos de Jira'!D$2:D$1000, B13, 'Datos de Jira'!G$2:G$1000)</f>
        <v>14</v>
      </c>
    </row>
    <row r="14" spans="2:15" ht="16.5" x14ac:dyDescent="0.3">
      <c r="B14" s="4" t="s">
        <v>14</v>
      </c>
      <c r="C14" s="5">
        <f>COUNTIF('Datos de Jira'!D$2:D$1000, B14)</f>
        <v>2</v>
      </c>
      <c r="D14" s="6">
        <f>SUMIF('Datos de Jira'!D$2:D$1000, B14, 'Datos de Jira'!G$2:G$1000)</f>
        <v>4</v>
      </c>
    </row>
    <row r="15" spans="2:15" ht="16.5" x14ac:dyDescent="0.3">
      <c r="B15" s="7" t="s">
        <v>15</v>
      </c>
      <c r="C15" s="7">
        <f>SUM(C11:C14)</f>
        <v>63</v>
      </c>
      <c r="D15" s="7">
        <f>SUM(D11:D14)</f>
        <v>190</v>
      </c>
    </row>
    <row r="18" spans="2:4" ht="16.5" x14ac:dyDescent="0.3">
      <c r="B18" s="18" t="s">
        <v>16</v>
      </c>
      <c r="C18" s="19"/>
      <c r="D18" s="19"/>
    </row>
    <row r="19" spans="2:4" ht="16.5" x14ac:dyDescent="0.25">
      <c r="B19" s="3" t="s">
        <v>17</v>
      </c>
      <c r="C19" s="3" t="s">
        <v>9</v>
      </c>
      <c r="D19" s="3" t="s">
        <v>10</v>
      </c>
    </row>
    <row r="20" spans="2:4" ht="16.5" x14ac:dyDescent="0.3">
      <c r="B20" s="4" t="s">
        <v>18</v>
      </c>
      <c r="C20" s="5">
        <f>COUNTIF('Datos de Jira'!E$2:E$1000, B20)</f>
        <v>19</v>
      </c>
      <c r="D20" s="6">
        <f>SUMIF('Datos de Jira'!E$2:E$1000, B20, 'Datos de Jira'!G$2:G$1000)</f>
        <v>60</v>
      </c>
    </row>
    <row r="21" spans="2:4" ht="16.5" x14ac:dyDescent="0.3">
      <c r="B21" s="4" t="s">
        <v>19</v>
      </c>
      <c r="C21" s="5">
        <f>COUNTIF('Datos de Jira'!E$2:E$1000, B21)</f>
        <v>23</v>
      </c>
      <c r="D21" s="6">
        <f>SUMIF('Datos de Jira'!E$2:E$1000, B21, 'Datos de Jira'!G$2:G$1000)</f>
        <v>98</v>
      </c>
    </row>
    <row r="22" spans="2:4" ht="16.5" x14ac:dyDescent="0.3">
      <c r="B22" s="4" t="s">
        <v>20</v>
      </c>
      <c r="C22" s="5">
        <f>COUNTIF('Datos de Jira'!E$2:E$1000, B22)</f>
        <v>19</v>
      </c>
      <c r="D22" s="6">
        <f>SUMIF('Datos de Jira'!E$2:E$1000, B22, 'Datos de Jira'!G$2:G$1000)</f>
        <v>27</v>
      </c>
    </row>
    <row r="23" spans="2:4" ht="16.5" x14ac:dyDescent="0.3">
      <c r="B23" s="4" t="s">
        <v>21</v>
      </c>
      <c r="C23" s="5">
        <f>COUNTIF('Datos de Jira'!E$2:E$1000, B23)</f>
        <v>1</v>
      </c>
      <c r="D23" s="6">
        <f>SUMIF('Datos de Jira'!E$2:E$1000, B23, 'Datos de Jira'!G$2:G$1000)</f>
        <v>4</v>
      </c>
    </row>
    <row r="24" spans="2:4" ht="16.5" x14ac:dyDescent="0.3">
      <c r="B24" s="4" t="s">
        <v>22</v>
      </c>
      <c r="C24" s="5">
        <f>COUNTIF('Datos de Jira'!E$2:E$1000, B24)</f>
        <v>1</v>
      </c>
      <c r="D24" s="6">
        <f>SUMIF('Datos de Jira'!E$2:E$1000, B24, 'Datos de Jira'!G$2:G$1000)</f>
        <v>1</v>
      </c>
    </row>
    <row r="25" spans="2:4" ht="16.5" x14ac:dyDescent="0.3">
      <c r="B25" s="7" t="s">
        <v>15</v>
      </c>
      <c r="C25" s="7">
        <f>SUM(C20:C24)</f>
        <v>63</v>
      </c>
      <c r="D25" s="7">
        <f>SUM(D20:D24)</f>
        <v>190</v>
      </c>
    </row>
  </sheetData>
  <mergeCells count="12">
    <mergeCell ref="B9:D9"/>
    <mergeCell ref="B18:D18"/>
    <mergeCell ref="K6:L6"/>
    <mergeCell ref="B6:C6"/>
    <mergeCell ref="E6:F6"/>
    <mergeCell ref="H6:I6"/>
    <mergeCell ref="N5:O5"/>
    <mergeCell ref="B5:C5"/>
    <mergeCell ref="N6:O6"/>
    <mergeCell ref="E5:F5"/>
    <mergeCell ref="K5:L5"/>
    <mergeCell ref="H5:I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50" customWidth="1"/>
    <col min="3" max="3" width="21" customWidth="1"/>
    <col min="4" max="4" width="19" customWidth="1"/>
    <col min="5" max="5" width="12" customWidth="1"/>
    <col min="6" max="6" width="30" customWidth="1"/>
    <col min="7" max="7" width="15" customWidth="1"/>
    <col min="8" max="8" width="21" customWidth="1"/>
    <col min="9" max="9" width="22" customWidth="1"/>
  </cols>
  <sheetData>
    <row r="1" spans="1:9" ht="24.95" customHeight="1" x14ac:dyDescent="0.25">
      <c r="A1" s="8" t="s">
        <v>23</v>
      </c>
      <c r="B1" s="8" t="s">
        <v>24</v>
      </c>
      <c r="C1" s="8" t="s">
        <v>25</v>
      </c>
      <c r="D1" s="8" t="s">
        <v>8</v>
      </c>
      <c r="E1" s="8" t="s">
        <v>17</v>
      </c>
      <c r="F1" s="8" t="s">
        <v>26</v>
      </c>
      <c r="G1" s="8" t="s">
        <v>10</v>
      </c>
      <c r="H1" s="8" t="s">
        <v>27</v>
      </c>
      <c r="I1" s="8" t="s">
        <v>28</v>
      </c>
    </row>
    <row r="2" spans="1:9" ht="20.100000000000001" customHeight="1" x14ac:dyDescent="0.3">
      <c r="A2" s="9" t="s">
        <v>29</v>
      </c>
      <c r="B2" s="10" t="s">
        <v>30</v>
      </c>
      <c r="C2" s="9" t="s">
        <v>31</v>
      </c>
      <c r="D2" s="9" t="s">
        <v>11</v>
      </c>
      <c r="E2" s="9" t="s">
        <v>18</v>
      </c>
      <c r="F2" s="10" t="s">
        <v>32</v>
      </c>
      <c r="G2" s="11">
        <v>3</v>
      </c>
      <c r="H2" s="9" t="s">
        <v>33</v>
      </c>
      <c r="I2" s="9" t="s">
        <v>34</v>
      </c>
    </row>
    <row r="3" spans="1:9" ht="20.100000000000001" customHeight="1" x14ac:dyDescent="0.3">
      <c r="A3" s="12" t="s">
        <v>35</v>
      </c>
      <c r="B3" s="4" t="s">
        <v>36</v>
      </c>
      <c r="C3" s="12" t="s">
        <v>31</v>
      </c>
      <c r="D3" s="12" t="s">
        <v>11</v>
      </c>
      <c r="E3" s="12" t="s">
        <v>18</v>
      </c>
      <c r="F3" s="4" t="s">
        <v>37</v>
      </c>
      <c r="G3" s="13">
        <v>3</v>
      </c>
      <c r="H3" s="12" t="s">
        <v>33</v>
      </c>
      <c r="I3" s="12" t="s">
        <v>34</v>
      </c>
    </row>
    <row r="4" spans="1:9" ht="20.100000000000001" customHeight="1" x14ac:dyDescent="0.3">
      <c r="A4" s="9" t="s">
        <v>38</v>
      </c>
      <c r="B4" s="10" t="s">
        <v>39</v>
      </c>
      <c r="C4" s="9" t="s">
        <v>31</v>
      </c>
      <c r="D4" s="9" t="s">
        <v>11</v>
      </c>
      <c r="E4" s="9" t="s">
        <v>19</v>
      </c>
      <c r="F4" s="10" t="s">
        <v>37</v>
      </c>
      <c r="G4" s="11">
        <v>5</v>
      </c>
      <c r="H4" s="9" t="s">
        <v>33</v>
      </c>
      <c r="I4" s="9" t="s">
        <v>34</v>
      </c>
    </row>
    <row r="5" spans="1:9" ht="20.100000000000001" customHeight="1" x14ac:dyDescent="0.3">
      <c r="A5" s="12" t="s">
        <v>40</v>
      </c>
      <c r="B5" s="4" t="s">
        <v>41</v>
      </c>
      <c r="C5" s="12" t="s">
        <v>31</v>
      </c>
      <c r="D5" s="12" t="s">
        <v>11</v>
      </c>
      <c r="E5" s="12" t="s">
        <v>19</v>
      </c>
      <c r="F5" s="4" t="s">
        <v>37</v>
      </c>
      <c r="G5" s="13">
        <v>4</v>
      </c>
      <c r="H5" s="12" t="s">
        <v>33</v>
      </c>
      <c r="I5" s="12" t="s">
        <v>34</v>
      </c>
    </row>
    <row r="6" spans="1:9" ht="20.100000000000001" customHeight="1" x14ac:dyDescent="0.3">
      <c r="A6" s="9" t="s">
        <v>42</v>
      </c>
      <c r="B6" s="10" t="s">
        <v>43</v>
      </c>
      <c r="C6" s="9" t="s">
        <v>31</v>
      </c>
      <c r="D6" s="9" t="s">
        <v>11</v>
      </c>
      <c r="E6" s="9" t="s">
        <v>19</v>
      </c>
      <c r="F6" s="10" t="s">
        <v>37</v>
      </c>
      <c r="G6" s="11">
        <v>4</v>
      </c>
      <c r="H6" s="9" t="s">
        <v>33</v>
      </c>
      <c r="I6" s="9" t="s">
        <v>34</v>
      </c>
    </row>
    <row r="7" spans="1:9" ht="20.100000000000001" customHeight="1" x14ac:dyDescent="0.3">
      <c r="A7" s="12" t="s">
        <v>44</v>
      </c>
      <c r="B7" s="4" t="s">
        <v>45</v>
      </c>
      <c r="C7" s="12" t="s">
        <v>31</v>
      </c>
      <c r="D7" s="12" t="s">
        <v>11</v>
      </c>
      <c r="E7" s="12" t="s">
        <v>19</v>
      </c>
      <c r="F7" s="4" t="s">
        <v>37</v>
      </c>
      <c r="G7" s="13">
        <v>4</v>
      </c>
      <c r="H7" s="12" t="s">
        <v>33</v>
      </c>
      <c r="I7" s="12" t="s">
        <v>34</v>
      </c>
    </row>
    <row r="8" spans="1:9" ht="20.100000000000001" customHeight="1" x14ac:dyDescent="0.3">
      <c r="A8" s="9" t="s">
        <v>46</v>
      </c>
      <c r="B8" s="10" t="s">
        <v>47</v>
      </c>
      <c r="C8" s="9" t="s">
        <v>31</v>
      </c>
      <c r="D8" s="9" t="s">
        <v>12</v>
      </c>
      <c r="E8" s="9" t="s">
        <v>18</v>
      </c>
      <c r="F8" s="10" t="s">
        <v>32</v>
      </c>
      <c r="G8" s="11">
        <v>4</v>
      </c>
      <c r="H8" s="9" t="s">
        <v>33</v>
      </c>
      <c r="I8" s="9"/>
    </row>
    <row r="9" spans="1:9" ht="20.100000000000001" customHeight="1" x14ac:dyDescent="0.3">
      <c r="A9" s="12" t="s">
        <v>48</v>
      </c>
      <c r="B9" s="4" t="s">
        <v>49</v>
      </c>
      <c r="C9" s="12" t="s">
        <v>31</v>
      </c>
      <c r="D9" s="12" t="s">
        <v>11</v>
      </c>
      <c r="E9" s="12" t="s">
        <v>19</v>
      </c>
      <c r="F9" s="4" t="s">
        <v>37</v>
      </c>
      <c r="G9" s="13">
        <v>5</v>
      </c>
      <c r="H9" s="12" t="s">
        <v>50</v>
      </c>
      <c r="I9" s="12" t="s">
        <v>51</v>
      </c>
    </row>
    <row r="10" spans="1:9" ht="20.100000000000001" customHeight="1" x14ac:dyDescent="0.3">
      <c r="A10" s="9" t="s">
        <v>52</v>
      </c>
      <c r="B10" s="10" t="s">
        <v>53</v>
      </c>
      <c r="C10" s="9" t="s">
        <v>54</v>
      </c>
      <c r="D10" s="9" t="s">
        <v>11</v>
      </c>
      <c r="E10" s="9" t="s">
        <v>19</v>
      </c>
      <c r="F10" s="10" t="s">
        <v>32</v>
      </c>
      <c r="G10" s="11">
        <v>5</v>
      </c>
      <c r="H10" s="9" t="s">
        <v>55</v>
      </c>
      <c r="I10" s="9" t="s">
        <v>56</v>
      </c>
    </row>
    <row r="11" spans="1:9" ht="20.100000000000001" customHeight="1" x14ac:dyDescent="0.3">
      <c r="A11" s="12" t="s">
        <v>57</v>
      </c>
      <c r="B11" s="4" t="s">
        <v>58</v>
      </c>
      <c r="C11" s="12" t="s">
        <v>59</v>
      </c>
      <c r="D11" s="12" t="s">
        <v>11</v>
      </c>
      <c r="E11" s="12" t="s">
        <v>18</v>
      </c>
      <c r="F11" s="4" t="s">
        <v>32</v>
      </c>
      <c r="G11" s="13">
        <v>4</v>
      </c>
      <c r="H11" s="12" t="s">
        <v>55</v>
      </c>
      <c r="I11" s="12" t="s">
        <v>56</v>
      </c>
    </row>
    <row r="12" spans="1:9" ht="20.100000000000001" customHeight="1" x14ac:dyDescent="0.3">
      <c r="A12" s="9" t="s">
        <v>60</v>
      </c>
      <c r="B12" s="10" t="s">
        <v>61</v>
      </c>
      <c r="C12" s="9" t="s">
        <v>59</v>
      </c>
      <c r="D12" s="9" t="s">
        <v>11</v>
      </c>
      <c r="E12" s="9" t="s">
        <v>19</v>
      </c>
      <c r="F12" s="10" t="s">
        <v>32</v>
      </c>
      <c r="G12" s="11">
        <v>5</v>
      </c>
      <c r="H12" s="9" t="s">
        <v>55</v>
      </c>
      <c r="I12" s="9" t="s">
        <v>56</v>
      </c>
    </row>
    <row r="13" spans="1:9" ht="20.100000000000001" customHeight="1" x14ac:dyDescent="0.3">
      <c r="A13" s="12" t="s">
        <v>62</v>
      </c>
      <c r="B13" s="4" t="s">
        <v>63</v>
      </c>
      <c r="C13" s="12" t="s">
        <v>59</v>
      </c>
      <c r="D13" s="12" t="s">
        <v>11</v>
      </c>
      <c r="E13" s="12" t="s">
        <v>18</v>
      </c>
      <c r="F13" s="4" t="s">
        <v>32</v>
      </c>
      <c r="G13" s="13">
        <v>4</v>
      </c>
      <c r="H13" s="12" t="s">
        <v>55</v>
      </c>
      <c r="I13" s="12" t="s">
        <v>56</v>
      </c>
    </row>
    <row r="14" spans="1:9" ht="20.100000000000001" customHeight="1" x14ac:dyDescent="0.3">
      <c r="A14" s="9" t="s">
        <v>64</v>
      </c>
      <c r="B14" s="10" t="s">
        <v>65</v>
      </c>
      <c r="C14" s="9" t="s">
        <v>59</v>
      </c>
      <c r="D14" s="9" t="s">
        <v>11</v>
      </c>
      <c r="E14" s="9" t="s">
        <v>19</v>
      </c>
      <c r="F14" s="10" t="s">
        <v>37</v>
      </c>
      <c r="G14" s="11">
        <v>5</v>
      </c>
      <c r="H14" s="9" t="s">
        <v>66</v>
      </c>
      <c r="I14" s="9" t="s">
        <v>56</v>
      </c>
    </row>
    <row r="15" spans="1:9" ht="20.100000000000001" customHeight="1" x14ac:dyDescent="0.3">
      <c r="A15" s="12" t="s">
        <v>67</v>
      </c>
      <c r="B15" s="4" t="s">
        <v>68</v>
      </c>
      <c r="C15" s="12" t="s">
        <v>59</v>
      </c>
      <c r="D15" s="12" t="s">
        <v>11</v>
      </c>
      <c r="E15" s="12" t="s">
        <v>19</v>
      </c>
      <c r="F15" s="4" t="s">
        <v>37</v>
      </c>
      <c r="G15" s="13">
        <v>5</v>
      </c>
      <c r="H15" s="12" t="s">
        <v>66</v>
      </c>
      <c r="I15" s="12" t="s">
        <v>69</v>
      </c>
    </row>
    <row r="16" spans="1:9" ht="20.100000000000001" customHeight="1" x14ac:dyDescent="0.3">
      <c r="A16" s="9" t="s">
        <v>70</v>
      </c>
      <c r="B16" s="10" t="s">
        <v>71</v>
      </c>
      <c r="C16" s="9" t="s">
        <v>59</v>
      </c>
      <c r="D16" s="9" t="s">
        <v>11</v>
      </c>
      <c r="E16" s="9" t="s">
        <v>18</v>
      </c>
      <c r="F16" s="10" t="s">
        <v>37</v>
      </c>
      <c r="G16" s="11">
        <v>3</v>
      </c>
      <c r="H16" s="9" t="s">
        <v>66</v>
      </c>
      <c r="I16" s="9" t="s">
        <v>69</v>
      </c>
    </row>
    <row r="17" spans="1:9" ht="20.100000000000001" customHeight="1" x14ac:dyDescent="0.3">
      <c r="A17" s="12" t="s">
        <v>72</v>
      </c>
      <c r="B17" s="4" t="s">
        <v>73</v>
      </c>
      <c r="C17" s="12" t="s">
        <v>54</v>
      </c>
      <c r="D17" s="12" t="s">
        <v>11</v>
      </c>
      <c r="E17" s="12" t="s">
        <v>20</v>
      </c>
      <c r="F17" s="4" t="s">
        <v>37</v>
      </c>
      <c r="G17" s="13">
        <v>3</v>
      </c>
      <c r="H17" s="12" t="s">
        <v>66</v>
      </c>
      <c r="I17" s="12" t="s">
        <v>74</v>
      </c>
    </row>
    <row r="18" spans="1:9" ht="20.100000000000001" customHeight="1" x14ac:dyDescent="0.3">
      <c r="A18" s="9" t="s">
        <v>75</v>
      </c>
      <c r="B18" s="10" t="s">
        <v>76</v>
      </c>
      <c r="C18" s="9" t="s">
        <v>54</v>
      </c>
      <c r="D18" s="9" t="s">
        <v>11</v>
      </c>
      <c r="E18" s="9" t="s">
        <v>19</v>
      </c>
      <c r="F18" s="10" t="s">
        <v>37</v>
      </c>
      <c r="G18" s="11">
        <v>5</v>
      </c>
      <c r="H18" s="9" t="s">
        <v>66</v>
      </c>
      <c r="I18" s="9" t="s">
        <v>69</v>
      </c>
    </row>
    <row r="19" spans="1:9" ht="20.100000000000001" customHeight="1" x14ac:dyDescent="0.3">
      <c r="A19" s="12" t="s">
        <v>77</v>
      </c>
      <c r="B19" s="4" t="s">
        <v>78</v>
      </c>
      <c r="C19" s="12" t="s">
        <v>54</v>
      </c>
      <c r="D19" s="12" t="s">
        <v>11</v>
      </c>
      <c r="E19" s="12" t="s">
        <v>20</v>
      </c>
      <c r="F19" s="4" t="s">
        <v>79</v>
      </c>
      <c r="G19" s="13">
        <v>3</v>
      </c>
      <c r="H19" s="12" t="s">
        <v>66</v>
      </c>
      <c r="I19" s="12" t="s">
        <v>74</v>
      </c>
    </row>
    <row r="20" spans="1:9" ht="20.100000000000001" customHeight="1" x14ac:dyDescent="0.3">
      <c r="A20" s="9" t="s">
        <v>80</v>
      </c>
      <c r="B20" s="10" t="s">
        <v>81</v>
      </c>
      <c r="C20" s="9" t="s">
        <v>54</v>
      </c>
      <c r="D20" s="9" t="s">
        <v>11</v>
      </c>
      <c r="E20" s="9" t="s">
        <v>19</v>
      </c>
      <c r="F20" s="10" t="s">
        <v>32</v>
      </c>
      <c r="G20" s="11">
        <v>4</v>
      </c>
      <c r="H20" s="9" t="s">
        <v>82</v>
      </c>
      <c r="I20" s="9" t="s">
        <v>69</v>
      </c>
    </row>
    <row r="21" spans="1:9" ht="20.100000000000001" customHeight="1" x14ac:dyDescent="0.3">
      <c r="A21" s="12" t="s">
        <v>83</v>
      </c>
      <c r="B21" s="4" t="s">
        <v>84</v>
      </c>
      <c r="C21" s="12" t="s">
        <v>59</v>
      </c>
      <c r="D21" s="12" t="s">
        <v>11</v>
      </c>
      <c r="E21" s="12" t="s">
        <v>20</v>
      </c>
      <c r="F21" s="4" t="s">
        <v>37</v>
      </c>
      <c r="G21" s="13">
        <v>4</v>
      </c>
      <c r="H21" s="12" t="s">
        <v>82</v>
      </c>
      <c r="I21" s="12" t="s">
        <v>74</v>
      </c>
    </row>
    <row r="22" spans="1:9" ht="20.100000000000001" customHeight="1" x14ac:dyDescent="0.3">
      <c r="A22" s="9" t="s">
        <v>85</v>
      </c>
      <c r="B22" s="10" t="s">
        <v>86</v>
      </c>
      <c r="C22" s="9" t="s">
        <v>59</v>
      </c>
      <c r="D22" s="9" t="s">
        <v>11</v>
      </c>
      <c r="E22" s="9" t="s">
        <v>19</v>
      </c>
      <c r="F22" s="10" t="s">
        <v>37</v>
      </c>
      <c r="G22" s="11">
        <v>5</v>
      </c>
      <c r="H22" s="9" t="s">
        <v>82</v>
      </c>
      <c r="I22" s="9" t="s">
        <v>87</v>
      </c>
    </row>
    <row r="23" spans="1:9" ht="20.100000000000001" customHeight="1" x14ac:dyDescent="0.3">
      <c r="A23" s="12" t="s">
        <v>88</v>
      </c>
      <c r="B23" s="4" t="s">
        <v>89</v>
      </c>
      <c r="C23" s="12" t="s">
        <v>90</v>
      </c>
      <c r="D23" s="12" t="s">
        <v>13</v>
      </c>
      <c r="E23" s="12" t="s">
        <v>18</v>
      </c>
      <c r="F23" s="4" t="s">
        <v>37</v>
      </c>
      <c r="G23" s="13">
        <v>3</v>
      </c>
      <c r="H23" s="12" t="s">
        <v>91</v>
      </c>
      <c r="I23" s="12"/>
    </row>
    <row r="24" spans="1:9" ht="20.100000000000001" customHeight="1" x14ac:dyDescent="0.3">
      <c r="A24" s="9" t="s">
        <v>92</v>
      </c>
      <c r="B24" s="10" t="s">
        <v>93</v>
      </c>
      <c r="C24" s="9" t="s">
        <v>90</v>
      </c>
      <c r="D24" s="9" t="s">
        <v>13</v>
      </c>
      <c r="E24" s="9" t="s">
        <v>19</v>
      </c>
      <c r="F24" s="10" t="s">
        <v>94</v>
      </c>
      <c r="G24" s="11">
        <v>5</v>
      </c>
      <c r="H24" s="9" t="s">
        <v>91</v>
      </c>
      <c r="I24" s="9"/>
    </row>
    <row r="25" spans="1:9" ht="20.100000000000001" customHeight="1" x14ac:dyDescent="0.3">
      <c r="A25" s="12" t="s">
        <v>95</v>
      </c>
      <c r="B25" s="4" t="s">
        <v>96</v>
      </c>
      <c r="C25" s="12" t="s">
        <v>59</v>
      </c>
      <c r="D25" s="12" t="s">
        <v>11</v>
      </c>
      <c r="E25" s="12" t="s">
        <v>18</v>
      </c>
      <c r="F25" s="4" t="s">
        <v>94</v>
      </c>
      <c r="G25" s="13">
        <v>5</v>
      </c>
      <c r="H25" s="12" t="s">
        <v>91</v>
      </c>
      <c r="I25" s="12" t="s">
        <v>69</v>
      </c>
    </row>
    <row r="26" spans="1:9" ht="20.100000000000001" customHeight="1" x14ac:dyDescent="0.3">
      <c r="A26" s="9" t="s">
        <v>97</v>
      </c>
      <c r="B26" s="10" t="s">
        <v>98</v>
      </c>
      <c r="C26" s="9" t="s">
        <v>59</v>
      </c>
      <c r="D26" s="9" t="s">
        <v>11</v>
      </c>
      <c r="E26" s="9" t="s">
        <v>20</v>
      </c>
      <c r="F26" s="10" t="s">
        <v>94</v>
      </c>
      <c r="G26" s="11">
        <v>2</v>
      </c>
      <c r="H26" s="9" t="s">
        <v>91</v>
      </c>
      <c r="I26" s="9" t="s">
        <v>74</v>
      </c>
    </row>
    <row r="27" spans="1:9" ht="20.100000000000001" customHeight="1" x14ac:dyDescent="0.3">
      <c r="A27" s="12" t="s">
        <v>99</v>
      </c>
      <c r="B27" s="4" t="s">
        <v>100</v>
      </c>
      <c r="C27" s="12" t="s">
        <v>59</v>
      </c>
      <c r="D27" s="12" t="s">
        <v>11</v>
      </c>
      <c r="E27" s="12" t="s">
        <v>20</v>
      </c>
      <c r="F27" s="4" t="s">
        <v>94</v>
      </c>
      <c r="G27" s="13">
        <v>3</v>
      </c>
      <c r="H27" s="12" t="s">
        <v>91</v>
      </c>
      <c r="I27" s="12" t="s">
        <v>69</v>
      </c>
    </row>
    <row r="28" spans="1:9" ht="20.100000000000001" customHeight="1" x14ac:dyDescent="0.3">
      <c r="A28" s="9" t="s">
        <v>101</v>
      </c>
      <c r="B28" s="10" t="s">
        <v>102</v>
      </c>
      <c r="C28" s="9" t="s">
        <v>54</v>
      </c>
      <c r="D28" s="9" t="s">
        <v>11</v>
      </c>
      <c r="E28" s="9" t="s">
        <v>18</v>
      </c>
      <c r="F28" s="10" t="s">
        <v>94</v>
      </c>
      <c r="G28" s="11">
        <v>3</v>
      </c>
      <c r="H28" s="9" t="s">
        <v>103</v>
      </c>
      <c r="I28" s="9" t="s">
        <v>87</v>
      </c>
    </row>
    <row r="29" spans="1:9" ht="20.100000000000001" customHeight="1" x14ac:dyDescent="0.3">
      <c r="A29" s="12" t="s">
        <v>104</v>
      </c>
      <c r="B29" s="4" t="s">
        <v>105</v>
      </c>
      <c r="C29" s="12" t="s">
        <v>59</v>
      </c>
      <c r="D29" s="12" t="s">
        <v>11</v>
      </c>
      <c r="E29" s="12" t="s">
        <v>19</v>
      </c>
      <c r="F29" s="4" t="s">
        <v>94</v>
      </c>
      <c r="G29" s="13">
        <v>4</v>
      </c>
      <c r="H29" s="12" t="s">
        <v>103</v>
      </c>
      <c r="I29" s="12" t="s">
        <v>69</v>
      </c>
    </row>
    <row r="30" spans="1:9" ht="20.100000000000001" customHeight="1" x14ac:dyDescent="0.3">
      <c r="A30" s="9" t="s">
        <v>106</v>
      </c>
      <c r="B30" s="10" t="s">
        <v>107</v>
      </c>
      <c r="C30" s="9" t="s">
        <v>54</v>
      </c>
      <c r="D30" s="9" t="s">
        <v>11</v>
      </c>
      <c r="E30" s="9" t="s">
        <v>20</v>
      </c>
      <c r="F30" s="10" t="s">
        <v>94</v>
      </c>
      <c r="G30" s="11">
        <v>2</v>
      </c>
      <c r="H30" s="9" t="s">
        <v>103</v>
      </c>
      <c r="I30" s="9" t="s">
        <v>74</v>
      </c>
    </row>
    <row r="31" spans="1:9" ht="20.100000000000001" customHeight="1" x14ac:dyDescent="0.3">
      <c r="A31" s="12" t="s">
        <v>108</v>
      </c>
      <c r="B31" s="4" t="s">
        <v>109</v>
      </c>
      <c r="C31" s="12" t="s">
        <v>54</v>
      </c>
      <c r="D31" s="12" t="s">
        <v>11</v>
      </c>
      <c r="E31" s="12" t="s">
        <v>18</v>
      </c>
      <c r="F31" s="4" t="s">
        <v>94</v>
      </c>
      <c r="G31" s="13">
        <v>4</v>
      </c>
      <c r="H31" s="12" t="s">
        <v>110</v>
      </c>
      <c r="I31" s="12" t="s">
        <v>69</v>
      </c>
    </row>
    <row r="32" spans="1:9" ht="20.100000000000001" customHeight="1" x14ac:dyDescent="0.3">
      <c r="A32" s="9" t="s">
        <v>111</v>
      </c>
      <c r="B32" s="10" t="s">
        <v>112</v>
      </c>
      <c r="C32" s="9" t="s">
        <v>54</v>
      </c>
      <c r="D32" s="9" t="s">
        <v>11</v>
      </c>
      <c r="E32" s="9" t="s">
        <v>19</v>
      </c>
      <c r="F32" s="10" t="s">
        <v>94</v>
      </c>
      <c r="G32" s="11">
        <v>5</v>
      </c>
      <c r="H32" s="9" t="s">
        <v>110</v>
      </c>
      <c r="I32" s="9" t="s">
        <v>69</v>
      </c>
    </row>
    <row r="33" spans="1:9" ht="20.100000000000001" customHeight="1" x14ac:dyDescent="0.3">
      <c r="A33" s="12" t="s">
        <v>113</v>
      </c>
      <c r="B33" s="4" t="s">
        <v>114</v>
      </c>
      <c r="C33" s="12" t="s">
        <v>54</v>
      </c>
      <c r="D33" s="12" t="s">
        <v>11</v>
      </c>
      <c r="E33" s="12" t="s">
        <v>18</v>
      </c>
      <c r="F33" s="4" t="s">
        <v>94</v>
      </c>
      <c r="G33" s="13">
        <v>5</v>
      </c>
      <c r="H33" s="12" t="s">
        <v>110</v>
      </c>
      <c r="I33" s="12" t="s">
        <v>69</v>
      </c>
    </row>
    <row r="34" spans="1:9" ht="20.100000000000001" customHeight="1" x14ac:dyDescent="0.3">
      <c r="A34" s="9" t="s">
        <v>115</v>
      </c>
      <c r="B34" s="10" t="s">
        <v>116</v>
      </c>
      <c r="C34" s="9" t="s">
        <v>54</v>
      </c>
      <c r="D34" s="9" t="s">
        <v>11</v>
      </c>
      <c r="E34" s="9" t="s">
        <v>19</v>
      </c>
      <c r="F34" s="10" t="s">
        <v>94</v>
      </c>
      <c r="G34" s="11">
        <v>3</v>
      </c>
      <c r="H34" s="9" t="s">
        <v>117</v>
      </c>
      <c r="I34" s="9" t="s">
        <v>87</v>
      </c>
    </row>
    <row r="35" spans="1:9" ht="20.100000000000001" customHeight="1" x14ac:dyDescent="0.3">
      <c r="A35" s="12" t="s">
        <v>118</v>
      </c>
      <c r="B35" s="4" t="s">
        <v>119</v>
      </c>
      <c r="C35" s="12" t="s">
        <v>59</v>
      </c>
      <c r="D35" s="12" t="s">
        <v>11</v>
      </c>
      <c r="E35" s="12" t="s">
        <v>19</v>
      </c>
      <c r="F35" s="4" t="s">
        <v>94</v>
      </c>
      <c r="G35" s="13">
        <v>3</v>
      </c>
      <c r="H35" s="12" t="s">
        <v>117</v>
      </c>
      <c r="I35" s="12" t="s">
        <v>87</v>
      </c>
    </row>
    <row r="36" spans="1:9" ht="20.100000000000001" customHeight="1" x14ac:dyDescent="0.3">
      <c r="A36" s="9" t="s">
        <v>120</v>
      </c>
      <c r="B36" s="10" t="s">
        <v>121</v>
      </c>
      <c r="C36" s="9" t="s">
        <v>54</v>
      </c>
      <c r="D36" s="9" t="s">
        <v>11</v>
      </c>
      <c r="E36" s="9" t="s">
        <v>19</v>
      </c>
      <c r="F36" s="10" t="s">
        <v>94</v>
      </c>
      <c r="G36" s="11">
        <v>2</v>
      </c>
      <c r="H36" s="9" t="s">
        <v>117</v>
      </c>
      <c r="I36" s="9" t="s">
        <v>74</v>
      </c>
    </row>
    <row r="37" spans="1:9" ht="20.100000000000001" customHeight="1" x14ac:dyDescent="0.3">
      <c r="A37" s="12" t="s">
        <v>122</v>
      </c>
      <c r="B37" s="4" t="s">
        <v>123</v>
      </c>
      <c r="C37" s="12" t="s">
        <v>54</v>
      </c>
      <c r="D37" s="12" t="s">
        <v>11</v>
      </c>
      <c r="E37" s="12" t="s">
        <v>18</v>
      </c>
      <c r="F37" s="4" t="s">
        <v>94</v>
      </c>
      <c r="G37" s="13">
        <v>3</v>
      </c>
      <c r="H37" s="12" t="s">
        <v>117</v>
      </c>
      <c r="I37" s="12" t="s">
        <v>74</v>
      </c>
    </row>
    <row r="38" spans="1:9" ht="20.100000000000001" customHeight="1" x14ac:dyDescent="0.3">
      <c r="A38" s="9" t="s">
        <v>124</v>
      </c>
      <c r="B38" s="10" t="s">
        <v>125</v>
      </c>
      <c r="C38" s="9" t="s">
        <v>54</v>
      </c>
      <c r="D38" s="9" t="s">
        <v>11</v>
      </c>
      <c r="E38" s="9" t="s">
        <v>19</v>
      </c>
      <c r="F38" s="10" t="s">
        <v>32</v>
      </c>
      <c r="G38" s="11">
        <v>2</v>
      </c>
      <c r="H38" s="9" t="s">
        <v>126</v>
      </c>
      <c r="I38" s="9" t="s">
        <v>87</v>
      </c>
    </row>
    <row r="39" spans="1:9" ht="20.100000000000001" customHeight="1" x14ac:dyDescent="0.3">
      <c r="A39" s="12" t="s">
        <v>127</v>
      </c>
      <c r="B39" s="4" t="s">
        <v>128</v>
      </c>
      <c r="C39" s="12" t="s">
        <v>59</v>
      </c>
      <c r="D39" s="12" t="s">
        <v>11</v>
      </c>
      <c r="E39" s="12" t="s">
        <v>20</v>
      </c>
      <c r="F39" s="4" t="s">
        <v>79</v>
      </c>
      <c r="G39" s="13">
        <v>0</v>
      </c>
      <c r="H39" s="12" t="s">
        <v>126</v>
      </c>
      <c r="I39" s="12" t="s">
        <v>87</v>
      </c>
    </row>
    <row r="40" spans="1:9" ht="20.100000000000001" customHeight="1" x14ac:dyDescent="0.3">
      <c r="A40" s="9" t="s">
        <v>129</v>
      </c>
      <c r="B40" s="10" t="s">
        <v>130</v>
      </c>
      <c r="C40" s="9" t="s">
        <v>54</v>
      </c>
      <c r="D40" s="9" t="s">
        <v>11</v>
      </c>
      <c r="E40" s="9" t="s">
        <v>19</v>
      </c>
      <c r="F40" s="10" t="s">
        <v>32</v>
      </c>
      <c r="G40" s="11">
        <v>4</v>
      </c>
      <c r="H40" s="9" t="s">
        <v>126</v>
      </c>
      <c r="I40" s="9" t="s">
        <v>87</v>
      </c>
    </row>
    <row r="41" spans="1:9" ht="20.100000000000001" customHeight="1" x14ac:dyDescent="0.3">
      <c r="A41" s="12" t="s">
        <v>131</v>
      </c>
      <c r="B41" s="4" t="s">
        <v>132</v>
      </c>
      <c r="C41" s="12" t="s">
        <v>133</v>
      </c>
      <c r="D41" s="12" t="s">
        <v>13</v>
      </c>
      <c r="E41" s="12" t="s">
        <v>18</v>
      </c>
      <c r="F41" s="4" t="s">
        <v>79</v>
      </c>
      <c r="G41" s="13">
        <v>0</v>
      </c>
      <c r="H41" s="12" t="s">
        <v>126</v>
      </c>
      <c r="I41" s="12"/>
    </row>
    <row r="42" spans="1:9" ht="20.100000000000001" customHeight="1" x14ac:dyDescent="0.3">
      <c r="A42" s="9" t="s">
        <v>134</v>
      </c>
      <c r="B42" s="10" t="s">
        <v>135</v>
      </c>
      <c r="C42" s="9" t="s">
        <v>133</v>
      </c>
      <c r="D42" s="9" t="s">
        <v>13</v>
      </c>
      <c r="E42" s="9" t="s">
        <v>18</v>
      </c>
      <c r="F42" s="10" t="s">
        <v>79</v>
      </c>
      <c r="G42" s="11">
        <v>0</v>
      </c>
      <c r="H42" s="9" t="s">
        <v>136</v>
      </c>
      <c r="I42" s="9"/>
    </row>
    <row r="43" spans="1:9" ht="20.100000000000001" customHeight="1" x14ac:dyDescent="0.3">
      <c r="A43" s="12" t="s">
        <v>137</v>
      </c>
      <c r="B43" s="4" t="s">
        <v>138</v>
      </c>
      <c r="C43" s="12" t="s">
        <v>59</v>
      </c>
      <c r="D43" s="12" t="s">
        <v>11</v>
      </c>
      <c r="E43" s="12" t="s">
        <v>20</v>
      </c>
      <c r="F43" s="4" t="s">
        <v>79</v>
      </c>
      <c r="G43" s="13">
        <v>3</v>
      </c>
      <c r="H43" s="12" t="s">
        <v>139</v>
      </c>
      <c r="I43" s="12" t="s">
        <v>140</v>
      </c>
    </row>
    <row r="44" spans="1:9" ht="20.100000000000001" customHeight="1" x14ac:dyDescent="0.3">
      <c r="A44" s="9" t="s">
        <v>141</v>
      </c>
      <c r="B44" s="10" t="s">
        <v>142</v>
      </c>
      <c r="C44" s="9" t="s">
        <v>59</v>
      </c>
      <c r="D44" s="9" t="s">
        <v>11</v>
      </c>
      <c r="E44" s="9" t="s">
        <v>20</v>
      </c>
      <c r="F44" s="10" t="s">
        <v>79</v>
      </c>
      <c r="G44" s="11">
        <v>4</v>
      </c>
      <c r="H44" s="9" t="s">
        <v>143</v>
      </c>
      <c r="I44" s="9" t="s">
        <v>140</v>
      </c>
    </row>
    <row r="45" spans="1:9" ht="20.100000000000001" customHeight="1" x14ac:dyDescent="0.3">
      <c r="A45" s="12" t="s">
        <v>144</v>
      </c>
      <c r="B45" s="4" t="s">
        <v>145</v>
      </c>
      <c r="C45" s="12" t="s">
        <v>59</v>
      </c>
      <c r="D45" s="12" t="s">
        <v>11</v>
      </c>
      <c r="E45" s="12" t="s">
        <v>20</v>
      </c>
      <c r="F45" s="4" t="s">
        <v>79</v>
      </c>
      <c r="G45" s="13">
        <v>3</v>
      </c>
      <c r="H45" s="12" t="s">
        <v>143</v>
      </c>
      <c r="I45" s="12" t="s">
        <v>140</v>
      </c>
    </row>
    <row r="46" spans="1:9" ht="20.100000000000001" customHeight="1" x14ac:dyDescent="0.3">
      <c r="A46" s="9" t="s">
        <v>146</v>
      </c>
      <c r="B46" s="10" t="s">
        <v>147</v>
      </c>
      <c r="C46" s="9" t="s">
        <v>31</v>
      </c>
      <c r="D46" s="9" t="s">
        <v>11</v>
      </c>
      <c r="E46" s="9" t="s">
        <v>18</v>
      </c>
      <c r="F46" s="10" t="s">
        <v>37</v>
      </c>
      <c r="G46" s="11">
        <v>6</v>
      </c>
      <c r="H46" s="9" t="s">
        <v>148</v>
      </c>
      <c r="I46" s="9" t="s">
        <v>149</v>
      </c>
    </row>
    <row r="47" spans="1:9" ht="20.100000000000001" customHeight="1" x14ac:dyDescent="0.3">
      <c r="A47" s="12" t="s">
        <v>150</v>
      </c>
      <c r="B47" s="4" t="s">
        <v>151</v>
      </c>
      <c r="C47" s="12" t="s">
        <v>31</v>
      </c>
      <c r="D47" s="12" t="s">
        <v>13</v>
      </c>
      <c r="E47" s="12" t="s">
        <v>18</v>
      </c>
      <c r="F47" s="4" t="s">
        <v>37</v>
      </c>
      <c r="G47" s="13">
        <v>6</v>
      </c>
      <c r="H47" s="12" t="s">
        <v>148</v>
      </c>
      <c r="I47" s="12"/>
    </row>
    <row r="48" spans="1:9" ht="20.100000000000001" customHeight="1" x14ac:dyDescent="0.3">
      <c r="A48" s="9" t="s">
        <v>152</v>
      </c>
      <c r="B48" s="10" t="s">
        <v>153</v>
      </c>
      <c r="C48" s="9" t="s">
        <v>31</v>
      </c>
      <c r="D48" s="9" t="s">
        <v>12</v>
      </c>
      <c r="E48" s="9" t="s">
        <v>19</v>
      </c>
      <c r="F48" s="10" t="s">
        <v>94</v>
      </c>
      <c r="G48" s="11">
        <v>5</v>
      </c>
      <c r="H48" s="9" t="s">
        <v>148</v>
      </c>
      <c r="I48" s="9"/>
    </row>
    <row r="49" spans="1:9" ht="20.100000000000001" customHeight="1" x14ac:dyDescent="0.3">
      <c r="A49" s="12" t="s">
        <v>154</v>
      </c>
      <c r="B49" s="4" t="s">
        <v>155</v>
      </c>
      <c r="C49" s="12" t="s">
        <v>31</v>
      </c>
      <c r="D49" s="12" t="s">
        <v>14</v>
      </c>
      <c r="E49" s="12" t="s">
        <v>21</v>
      </c>
      <c r="F49" s="4" t="s">
        <v>32</v>
      </c>
      <c r="G49" s="13">
        <v>4</v>
      </c>
      <c r="H49" s="12" t="s">
        <v>156</v>
      </c>
      <c r="I49" s="12"/>
    </row>
    <row r="50" spans="1:9" ht="20.100000000000001" customHeight="1" x14ac:dyDescent="0.3">
      <c r="A50" s="9" t="s">
        <v>157</v>
      </c>
      <c r="B50" s="10" t="s">
        <v>158</v>
      </c>
      <c r="C50" s="9" t="s">
        <v>31</v>
      </c>
      <c r="D50" s="9" t="s">
        <v>11</v>
      </c>
      <c r="E50" s="9" t="s">
        <v>19</v>
      </c>
      <c r="F50" s="10" t="s">
        <v>32</v>
      </c>
      <c r="G50" s="11">
        <v>4</v>
      </c>
      <c r="H50" s="9" t="s">
        <v>156</v>
      </c>
      <c r="I50" s="9" t="s">
        <v>51</v>
      </c>
    </row>
    <row r="51" spans="1:9" ht="20.100000000000001" customHeight="1" x14ac:dyDescent="0.3">
      <c r="A51" s="12" t="s">
        <v>159</v>
      </c>
      <c r="B51" s="4" t="s">
        <v>160</v>
      </c>
      <c r="C51" s="12" t="s">
        <v>59</v>
      </c>
      <c r="D51" s="12" t="s">
        <v>11</v>
      </c>
      <c r="E51" s="12" t="s">
        <v>18</v>
      </c>
      <c r="F51" s="4" t="s">
        <v>79</v>
      </c>
      <c r="G51" s="13">
        <v>1</v>
      </c>
      <c r="H51" s="12" t="s">
        <v>161</v>
      </c>
      <c r="I51" s="12" t="s">
        <v>162</v>
      </c>
    </row>
    <row r="52" spans="1:9" ht="20.100000000000001" customHeight="1" x14ac:dyDescent="0.3">
      <c r="A52" s="9" t="s">
        <v>163</v>
      </c>
      <c r="B52" s="10" t="s">
        <v>164</v>
      </c>
      <c r="C52" s="9" t="s">
        <v>59</v>
      </c>
      <c r="D52" s="9" t="s">
        <v>11</v>
      </c>
      <c r="E52" s="9" t="s">
        <v>18</v>
      </c>
      <c r="F52" s="10" t="s">
        <v>79</v>
      </c>
      <c r="G52" s="11">
        <v>1</v>
      </c>
      <c r="H52" s="9" t="s">
        <v>161</v>
      </c>
      <c r="I52" s="9" t="s">
        <v>140</v>
      </c>
    </row>
    <row r="53" spans="1:9" ht="20.100000000000001" customHeight="1" x14ac:dyDescent="0.3">
      <c r="A53" s="12" t="s">
        <v>165</v>
      </c>
      <c r="B53" s="4" t="s">
        <v>166</v>
      </c>
      <c r="C53" s="12" t="s">
        <v>59</v>
      </c>
      <c r="D53" s="12" t="s">
        <v>11</v>
      </c>
      <c r="E53" s="12" t="s">
        <v>22</v>
      </c>
      <c r="F53" s="4" t="s">
        <v>79</v>
      </c>
      <c r="G53" s="13">
        <v>1</v>
      </c>
      <c r="H53" s="12" t="s">
        <v>167</v>
      </c>
      <c r="I53" s="12" t="s">
        <v>140</v>
      </c>
    </row>
    <row r="54" spans="1:9" ht="20.100000000000001" customHeight="1" x14ac:dyDescent="0.3">
      <c r="A54" s="9" t="s">
        <v>168</v>
      </c>
      <c r="B54" s="10" t="s">
        <v>169</v>
      </c>
      <c r="C54" s="9" t="s">
        <v>31</v>
      </c>
      <c r="D54" s="9" t="s">
        <v>11</v>
      </c>
      <c r="E54" s="9" t="s">
        <v>18</v>
      </c>
      <c r="F54" s="10" t="s">
        <v>32</v>
      </c>
      <c r="G54" s="11">
        <v>2</v>
      </c>
      <c r="H54" s="9" t="s">
        <v>170</v>
      </c>
      <c r="I54" s="9" t="s">
        <v>149</v>
      </c>
    </row>
    <row r="55" spans="1:9" ht="20.100000000000001" customHeight="1" x14ac:dyDescent="0.3">
      <c r="A55" s="12" t="s">
        <v>171</v>
      </c>
      <c r="B55" s="4" t="s">
        <v>172</v>
      </c>
      <c r="C55" s="12" t="s">
        <v>133</v>
      </c>
      <c r="D55" s="12" t="s">
        <v>13</v>
      </c>
      <c r="E55" s="12" t="s">
        <v>20</v>
      </c>
      <c r="F55" s="4" t="s">
        <v>79</v>
      </c>
      <c r="G55" s="13">
        <v>0</v>
      </c>
      <c r="H55" s="12" t="s">
        <v>173</v>
      </c>
      <c r="I55" s="12"/>
    </row>
    <row r="56" spans="1:9" ht="20.100000000000001" customHeight="1" x14ac:dyDescent="0.3">
      <c r="A56" s="9" t="s">
        <v>174</v>
      </c>
      <c r="B56" s="10" t="s">
        <v>175</v>
      </c>
      <c r="C56" s="9" t="s">
        <v>31</v>
      </c>
      <c r="D56" s="9" t="s">
        <v>11</v>
      </c>
      <c r="E56" s="9" t="s">
        <v>19</v>
      </c>
      <c r="F56" s="10" t="s">
        <v>94</v>
      </c>
      <c r="G56" s="11">
        <v>5</v>
      </c>
      <c r="H56" s="9" t="s">
        <v>173</v>
      </c>
      <c r="I56" s="9" t="s">
        <v>149</v>
      </c>
    </row>
    <row r="57" spans="1:9" ht="20.100000000000001" customHeight="1" x14ac:dyDescent="0.3">
      <c r="A57" s="12" t="s">
        <v>176</v>
      </c>
      <c r="B57" s="4" t="s">
        <v>177</v>
      </c>
      <c r="C57" s="12" t="s">
        <v>133</v>
      </c>
      <c r="D57" s="12" t="s">
        <v>13</v>
      </c>
      <c r="E57" s="12" t="s">
        <v>20</v>
      </c>
      <c r="F57" s="4" t="s">
        <v>79</v>
      </c>
      <c r="G57" s="13">
        <v>0</v>
      </c>
      <c r="H57" s="12" t="s">
        <v>178</v>
      </c>
      <c r="I57" s="12"/>
    </row>
    <row r="58" spans="1:9" ht="20.100000000000001" customHeight="1" x14ac:dyDescent="0.3">
      <c r="A58" s="9" t="s">
        <v>179</v>
      </c>
      <c r="B58" s="10" t="s">
        <v>180</v>
      </c>
      <c r="C58" s="9" t="s">
        <v>133</v>
      </c>
      <c r="D58" s="9" t="s">
        <v>14</v>
      </c>
      <c r="E58" s="9" t="s">
        <v>20</v>
      </c>
      <c r="F58" s="10" t="s">
        <v>79</v>
      </c>
      <c r="G58" s="11">
        <v>0</v>
      </c>
      <c r="H58" s="9" t="s">
        <v>181</v>
      </c>
      <c r="I58" s="9"/>
    </row>
    <row r="59" spans="1:9" ht="20.100000000000001" customHeight="1" x14ac:dyDescent="0.3">
      <c r="A59" s="12" t="s">
        <v>182</v>
      </c>
      <c r="B59" s="4" t="s">
        <v>183</v>
      </c>
      <c r="C59" s="12" t="s">
        <v>133</v>
      </c>
      <c r="D59" s="12" t="s">
        <v>13</v>
      </c>
      <c r="E59" s="12" t="s">
        <v>20</v>
      </c>
      <c r="F59" s="4" t="s">
        <v>79</v>
      </c>
      <c r="G59" s="13">
        <v>0</v>
      </c>
      <c r="H59" s="12" t="s">
        <v>184</v>
      </c>
      <c r="I59" s="12"/>
    </row>
    <row r="60" spans="1:9" ht="20.100000000000001" customHeight="1" x14ac:dyDescent="0.3">
      <c r="A60" s="9" t="s">
        <v>185</v>
      </c>
      <c r="B60" s="10" t="s">
        <v>186</v>
      </c>
      <c r="C60" s="9" t="s">
        <v>133</v>
      </c>
      <c r="D60" s="9" t="s">
        <v>13</v>
      </c>
      <c r="E60" s="9" t="s">
        <v>20</v>
      </c>
      <c r="F60" s="10" t="s">
        <v>79</v>
      </c>
      <c r="G60" s="11">
        <v>0</v>
      </c>
      <c r="H60" s="9" t="s">
        <v>187</v>
      </c>
      <c r="I60" s="9"/>
    </row>
    <row r="61" spans="1:9" ht="20.100000000000001" customHeight="1" x14ac:dyDescent="0.3">
      <c r="A61" s="12" t="s">
        <v>188</v>
      </c>
      <c r="B61" s="4" t="s">
        <v>189</v>
      </c>
      <c r="C61" s="12" t="s">
        <v>133</v>
      </c>
      <c r="D61" s="12" t="s">
        <v>13</v>
      </c>
      <c r="E61" s="12" t="s">
        <v>20</v>
      </c>
      <c r="F61" s="4" t="s">
        <v>79</v>
      </c>
      <c r="G61" s="13">
        <v>0</v>
      </c>
      <c r="H61" s="12" t="s">
        <v>190</v>
      </c>
      <c r="I61" s="12"/>
    </row>
    <row r="62" spans="1:9" ht="20.100000000000001" customHeight="1" x14ac:dyDescent="0.3">
      <c r="A62" s="9" t="s">
        <v>191</v>
      </c>
      <c r="B62" s="10" t="s">
        <v>192</v>
      </c>
      <c r="C62" s="9" t="s">
        <v>133</v>
      </c>
      <c r="D62" s="9" t="s">
        <v>13</v>
      </c>
      <c r="E62" s="9" t="s">
        <v>20</v>
      </c>
      <c r="F62" s="10" t="s">
        <v>37</v>
      </c>
      <c r="G62" s="11">
        <v>0</v>
      </c>
      <c r="H62" s="9" t="s">
        <v>193</v>
      </c>
      <c r="I62" s="9"/>
    </row>
    <row r="63" spans="1:9" ht="20.100000000000001" customHeight="1" x14ac:dyDescent="0.3">
      <c r="A63" s="12" t="s">
        <v>194</v>
      </c>
      <c r="B63" s="4" t="s">
        <v>195</v>
      </c>
      <c r="C63" s="12" t="s">
        <v>133</v>
      </c>
      <c r="D63" s="12" t="s">
        <v>13</v>
      </c>
      <c r="E63" s="12" t="s">
        <v>20</v>
      </c>
      <c r="F63" s="4" t="s">
        <v>94</v>
      </c>
      <c r="G63" s="13">
        <v>0</v>
      </c>
      <c r="H63" s="12" t="s">
        <v>193</v>
      </c>
      <c r="I63" s="12"/>
    </row>
    <row r="64" spans="1:9" ht="20.100000000000001" customHeight="1" x14ac:dyDescent="0.3">
      <c r="A64" s="9" t="s">
        <v>196</v>
      </c>
      <c r="B64" s="10" t="s">
        <v>197</v>
      </c>
      <c r="C64" s="9" t="s">
        <v>133</v>
      </c>
      <c r="D64" s="9" t="s">
        <v>13</v>
      </c>
      <c r="E64" s="9" t="s">
        <v>20</v>
      </c>
      <c r="F64" s="10" t="s">
        <v>32</v>
      </c>
      <c r="G64" s="11">
        <v>0</v>
      </c>
      <c r="H64" s="9" t="s">
        <v>198</v>
      </c>
      <c r="I64" s="9"/>
    </row>
  </sheetData>
  <autoFilter ref="A1:I6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 de Progreso</vt:lpstr>
      <vt:lpstr>Datos de 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Nuñez</cp:lastModifiedBy>
  <dcterms:created xsi:type="dcterms:W3CDTF">2026-05-26T00:54:02Z</dcterms:created>
  <dcterms:modified xsi:type="dcterms:W3CDTF">2026-05-26T00:56:18Z</dcterms:modified>
</cp:coreProperties>
</file>